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Parametres" sheetId="2" state="visible" r:id="rId4"/>
    <sheet name="Bilan_eau" sheetId="3" state="visible" r:id="rId5"/>
    <sheet name="Journal" sheetId="4" state="visible" r:id="rId6"/>
    <sheet name="Energie" sheetId="5" state="visible" r:id="rId7"/>
    <sheet name="Materi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Duree retenue par la classe : de novembre a avril.</t>
        </r>
      </text>
    </comment>
  </commentList>
</comments>
</file>

<file path=xl/sharedStrings.xml><?xml version="1.0" encoding="utf-8"?>
<sst xmlns="http://schemas.openxmlformats.org/spreadsheetml/2006/main" count="302" uniqueCount="232">
  <si>
    <t xml:space="preserve">Bilan d'eau du jardin sec  -  Liceo Franco Hondureno</t>
  </si>
  <si>
    <t xml:space="preserve">Classeur d'accompagnement du projet jardin sec, technologie cycle 4.</t>
  </si>
  <si>
    <t xml:space="preserve">Il sert en seance 5 de 5e, en seance 6 de 4e et en seances 3 et 5 de 3e.</t>
  </si>
  <si>
    <t xml:space="preserve">COMMENT L'UTILISER</t>
  </si>
  <si>
    <t xml:space="preserve">1. Onglet Parametres : les eleves ne modifient QUE les cellules sur fond jaune, en bleu.</t>
  </si>
  <si>
    <t xml:space="preserve">   Toutes les autres cellules du classeur sont des formules et se recalculent seules.</t>
  </si>
  <si>
    <t xml:space="preserve">2. Onglet Bilan_eau : le resultat du projet, compare a l'objectif du cahier des charges.</t>
  </si>
  <si>
    <t xml:space="preserve">3. Onglet Journal : coller ici le CSV exporte de la carte micro:bit receptrice.</t>
  </si>
  <si>
    <t xml:space="preserve">   Une ligne d'exemple montre le format attendu. La supprimer avant de coller les vraies donnees.</t>
  </si>
  <si>
    <t xml:space="preserve">4. Onglet Energie : le bilan energetique de la seance 2 de 3e.</t>
  </si>
  <si>
    <t xml:space="preserve">5. Onglet Materiel : le budget du projet, a actualiser au moment de la demande d'achat.</t>
  </si>
  <si>
    <t xml:space="preserve">CODE COULEUR</t>
  </si>
  <si>
    <t xml:space="preserve">Bleu sur fond jaune : donnee saisie par l'eleve ou relevee sur le terrain.</t>
  </si>
  <si>
    <t xml:space="preserve">Noir : resultat calcule par une formule. Ne rien y ecrire.</t>
  </si>
  <si>
    <t xml:space="preserve">ORIGINE DES DONNEES</t>
  </si>
  <si>
    <t xml:space="preserve">Surfaces et cotes : releve fait par les eleves de 5e dans la cour, seance 1.</t>
  </si>
  <si>
    <t xml:space="preserve">Pluviometrie : relevee par les eleves sur une station meteorologique locale, seance 1 de 5e.</t>
  </si>
  <si>
    <t xml:space="preserve">Efficiences d'arrosage : documentation fournie en seance 1 de 4e.</t>
  </si>
  <si>
    <t xml:space="preserve">Consommation mesuree : releve du niveau du fut par les eleves de service, seance 6 de 4e.</t>
  </si>
  <si>
    <t xml:space="preserve">Courants et tensions : mesures au multimetre, seance 2 de 3e.</t>
  </si>
  <si>
    <t xml:space="preserve">Prix : releves a Tegucigalpa, a actualiser.</t>
  </si>
  <si>
    <t xml:space="preserve">ARRONDIS</t>
  </si>
  <si>
    <t xml:space="preserve">Les fiches de seance arrondissent la surface cultivee a 7,7 m2. Le classeur calcule 7,68 m2,</t>
  </si>
  <si>
    <t xml:space="preserve">ce qui explique les petits ecarts entre les chiffres des fiches et ceux du classeur.</t>
  </si>
  <si>
    <t xml:space="preserve">Parametres du projet</t>
  </si>
  <si>
    <t xml:space="preserve">Les cellules jaunes sont les seules a modifier.</t>
  </si>
  <si>
    <t xml:space="preserve">Parametre</t>
  </si>
  <si>
    <t xml:space="preserve">Valeur</t>
  </si>
  <si>
    <t xml:space="preserve">Unite</t>
  </si>
  <si>
    <t xml:space="preserve">Origine de la donnee</t>
  </si>
  <si>
    <t xml:space="preserve">Longueur du couloir</t>
  </si>
  <si>
    <t xml:space="preserve">m</t>
  </si>
  <si>
    <t xml:space="preserve">Releve au decametre, 5e seance 1</t>
  </si>
  <si>
    <t xml:space="preserve">Largeur du couloir</t>
  </si>
  <si>
    <t xml:space="preserve">Largeur occupee par la haie</t>
  </si>
  <si>
    <t xml:space="preserve">Releve, 5e seance 1</t>
  </si>
  <si>
    <t xml:space="preserve">Largeur du passage a laisser libre</t>
  </si>
  <si>
    <t xml:space="preserve">Contrainte de circulation</t>
  </si>
  <si>
    <t xml:space="preserve">Nombre de jardinieres</t>
  </si>
  <si>
    <t xml:space="preserve">Choix de la classe, 5e seance 1</t>
  </si>
  <si>
    <t xml:space="preserve">Longueur d'une jardiniere</t>
  </si>
  <si>
    <t xml:space="preserve">Cahier des charges, 5e seance 3</t>
  </si>
  <si>
    <t xml:space="preserve">Largeur d'une jardiniere</t>
  </si>
  <si>
    <t xml:space="preserve">Duree de la saison seche</t>
  </si>
  <si>
    <t xml:space="preserve">jours</t>
  </si>
  <si>
    <t xml:space="preserve">Graphique des precipitations, 5e seance 1</t>
  </si>
  <si>
    <t xml:space="preserve">Besoin d'un potager classique</t>
  </si>
  <si>
    <t xml:space="preserve">L/m2/jour</t>
  </si>
  <si>
    <t xml:space="preserve">Documentation, 5e seance 1</t>
  </si>
  <si>
    <t xml:space="preserve">Objectif du cahier des charges</t>
  </si>
  <si>
    <t xml:space="preserve">Contrainte FC1</t>
  </si>
  <si>
    <t xml:space="preserve">Consommation mesuree du systeme</t>
  </si>
  <si>
    <t xml:space="preserve">L/jour</t>
  </si>
  <si>
    <t xml:space="preserve">Releve du fut, 4e seance 6</t>
  </si>
  <si>
    <t xml:space="preserve">Arrosage manuel des temoins</t>
  </si>
  <si>
    <t xml:space="preserve">Releve a l'arrosoir, 4e seance 6</t>
  </si>
  <si>
    <t xml:space="preserve">Surface de toiture captee</t>
  </si>
  <si>
    <t xml:space="preserve">m2</t>
  </si>
  <si>
    <t xml:space="preserve">Releve et plan, 4e seance 2</t>
  </si>
  <si>
    <t xml:space="preserve">Pluviometrie annuelle</t>
  </si>
  <si>
    <t xml:space="preserve">mm</t>
  </si>
  <si>
    <t xml:space="preserve">Station meteorologique locale</t>
  </si>
  <si>
    <t xml:space="preserve">Coefficient de recuperation</t>
  </si>
  <si>
    <t xml:space="preserve">Documentation, 4e seance 2</t>
  </si>
  <si>
    <t xml:space="preserve">Volume utile d'un fut</t>
  </si>
  <si>
    <t xml:space="preserve">L</t>
  </si>
  <si>
    <t xml:space="preserve">Fiche fournisseur</t>
  </si>
  <si>
    <t xml:space="preserve">Debit d'un goutteur</t>
  </si>
  <si>
    <t xml:space="preserve">L/h</t>
  </si>
  <si>
    <t xml:space="preserve">Mesure au chronometre, 4e seance 1</t>
  </si>
  <si>
    <t xml:space="preserve">Prix du litre d'eau du reseau</t>
  </si>
  <si>
    <t xml:space="preserve">lempira</t>
  </si>
  <si>
    <t xml:space="preserve">Facture de l'etablissement</t>
  </si>
  <si>
    <t xml:space="preserve">Bilan d'eau de la saison seche</t>
  </si>
  <si>
    <t xml:space="preserve">Grandeur</t>
  </si>
  <si>
    <t xml:space="preserve">Formule et commentaire</t>
  </si>
  <si>
    <t xml:space="preserve">Surface totale de la cour</t>
  </si>
  <si>
    <t xml:space="preserve">longueur x largeur</t>
  </si>
  <si>
    <t xml:space="preserve">Emprise de la haie</t>
  </si>
  <si>
    <t xml:space="preserve">longueur x largeur de haie</t>
  </si>
  <si>
    <t xml:space="preserve">Passage a laisser libre</t>
  </si>
  <si>
    <t xml:space="preserve">longueur x largeur de passage</t>
  </si>
  <si>
    <t xml:space="preserve">Surface plantable</t>
  </si>
  <si>
    <t xml:space="preserve">ce qui reste apres la haie et le passage</t>
  </si>
  <si>
    <t xml:space="preserve">Surface reellement cultivee</t>
  </si>
  <si>
    <t xml:space="preserve">nombre de jardinieres x longueur x largeur</t>
  </si>
  <si>
    <t xml:space="preserve">Consommation du systeme</t>
  </si>
  <si>
    <t xml:space="preserve">consommation par jour x duree de la saison seche</t>
  </si>
  <si>
    <t xml:space="preserve">Consommation de l'arrosage manuel</t>
  </si>
  <si>
    <t xml:space="preserve">temoins arroses a l'arrosoir</t>
  </si>
  <si>
    <t xml:space="preserve">Consommation d'un potager classique</t>
  </si>
  <si>
    <t xml:space="preserve">besoin par m2 x surface cultivee x duree</t>
  </si>
  <si>
    <t xml:space="preserve">Economie face au potager classique</t>
  </si>
  <si>
    <t xml:space="preserve">difference des deux precedentes</t>
  </si>
  <si>
    <t xml:space="preserve">Economie en pourcentage</t>
  </si>
  <si>
    <t xml:space="preserve">part economisee</t>
  </si>
  <si>
    <t xml:space="preserve">Consommation par m2 et par jour</t>
  </si>
  <si>
    <t xml:space="preserve">grandeur comparee a la contrainte FC1</t>
  </si>
  <si>
    <t xml:space="preserve">contrainte FC1</t>
  </si>
  <si>
    <t xml:space="preserve">comparaison automatique</t>
  </si>
  <si>
    <t xml:space="preserve">Marge par rapport a l'objectif</t>
  </si>
  <si>
    <t xml:space="preserve">part de l'objectif non consommee</t>
  </si>
  <si>
    <t xml:space="preserve">Recolte annuelle possible sur la toiture</t>
  </si>
  <si>
    <t xml:space="preserve">surface de toiture x pluviometrie x coefficient</t>
  </si>
  <si>
    <t xml:space="preserve">Part de la recolte utilisee par le jardin</t>
  </si>
  <si>
    <t xml:space="preserve">consommation rapportee a la recolte</t>
  </si>
  <si>
    <t xml:space="preserve">Autonomie d'un fut plein, a la consommation mesuree</t>
  </si>
  <si>
    <t xml:space="preserve">volume du fut divise par la consommation quotidienne</t>
  </si>
  <si>
    <t xml:space="preserve">Futs necessaires sans aucune pluie</t>
  </si>
  <si>
    <t xml:space="preserve">consommation totale divisee par le volume d'un fut</t>
  </si>
  <si>
    <t xml:space="preserve">Duree d'arrosage quotidienne, a la consommation mesuree</t>
  </si>
  <si>
    <t xml:space="preserve">min</t>
  </si>
  <si>
    <t xml:space="preserve">consommation divisee par le debit total</t>
  </si>
  <si>
    <t xml:space="preserve">Eau potable prelevee sur le reseau</t>
  </si>
  <si>
    <t xml:space="preserve">toute l'eau vient de la pluie recuperee</t>
  </si>
  <si>
    <t xml:space="preserve">Valeur de l'eau economisee</t>
  </si>
  <si>
    <t xml:space="preserve">lempiras</t>
  </si>
  <si>
    <t xml:space="preserve">economie x prix du litre</t>
  </si>
  <si>
    <t xml:space="preserve">Journal de donnees de la carte receptrice</t>
  </si>
  <si>
    <t xml:space="preserve">Coller ici le CSV exporte de MY_DATA.HTM. La ligne 5 est un exemple, la supprimer avant de coller.</t>
  </si>
  <si>
    <t xml:space="preserve">Temps (s)</t>
  </si>
  <si>
    <t xml:space="preserve">Jardiniere</t>
  </si>
  <si>
    <t xml:space="preserve">Humidite (%)</t>
  </si>
  <si>
    <t xml:space="preserve">Arrosage</t>
  </si>
  <si>
    <t xml:space="preserve">Heure</t>
  </si>
  <si>
    <t xml:space="preserve">Etat</t>
  </si>
  <si>
    <t xml:space="preserve">Analyse du journal</t>
  </si>
  <si>
    <t xml:space="preserve">Nombre de mesures</t>
  </si>
  <si>
    <t xml:space="preserve">Nombre d'arrosages</t>
  </si>
  <si>
    <t xml:space="preserve">Humidite moyenne</t>
  </si>
  <si>
    <t xml:space="preserve">Humidite minimale</t>
  </si>
  <si>
    <t xml:space="preserve">Humidite maximale</t>
  </si>
  <si>
    <t xml:space="preserve">Mesures en defaut</t>
  </si>
  <si>
    <t xml:space="preserve">Duree couverte (heures)</t>
  </si>
  <si>
    <t xml:space="preserve">Bilan energetique du systeme</t>
  </si>
  <si>
    <t xml:space="preserve">Origine ou formule</t>
  </si>
  <si>
    <t xml:space="preserve">Tension d'alimentation du micro:bit</t>
  </si>
  <si>
    <t xml:space="preserve">V</t>
  </si>
  <si>
    <t xml:space="preserve">mesure, 3e seance 2</t>
  </si>
  <si>
    <t xml:space="preserve">Courant en veille</t>
  </si>
  <si>
    <t xml:space="preserve">A</t>
  </si>
  <si>
    <t xml:space="preserve">mesure au multimetre, 3e seance 2</t>
  </si>
  <si>
    <t xml:space="preserve">Tension de l'electrovanne</t>
  </si>
  <si>
    <t xml:space="preserve">fiche du composant</t>
  </si>
  <si>
    <t xml:space="preserve">Courant pendant l'arrosage</t>
  </si>
  <si>
    <t xml:space="preserve">mesure au multimetre</t>
  </si>
  <si>
    <t xml:space="preserve">Nombre d'arrosages par jour</t>
  </si>
  <si>
    <t xml:space="preserve">reglage du programme</t>
  </si>
  <si>
    <t xml:space="preserve">Duree d'un arrosage</t>
  </si>
  <si>
    <t xml:space="preserve">s</t>
  </si>
  <si>
    <t xml:space="preserve">Puissance du panneau solaire</t>
  </si>
  <si>
    <t xml:space="preserve">W</t>
  </si>
  <si>
    <t xml:space="preserve">Heures d'ensoleillement equivalentes</t>
  </si>
  <si>
    <t xml:space="preserve">h/jour</t>
  </si>
  <si>
    <t xml:space="preserve">donnee locale</t>
  </si>
  <si>
    <t xml:space="preserve">Rendement de charge</t>
  </si>
  <si>
    <t xml:space="preserve">documentation</t>
  </si>
  <si>
    <t xml:space="preserve">Capacite de l'accumulateur</t>
  </si>
  <si>
    <t xml:space="preserve">mAh</t>
  </si>
  <si>
    <t xml:space="preserve">Tension de l'accumulateur</t>
  </si>
  <si>
    <t xml:space="preserve">Autonomie exigee</t>
  </si>
  <si>
    <t xml:space="preserve">contrainte FP2</t>
  </si>
  <si>
    <t xml:space="preserve">Puissance en veille</t>
  </si>
  <si>
    <t xml:space="preserve">tension x courant</t>
  </si>
  <si>
    <t xml:space="preserve">Puissance pendant l'arrosage</t>
  </si>
  <si>
    <t xml:space="preserve">micro:bit plus electrovanne</t>
  </si>
  <si>
    <t xml:space="preserve">Duree d'arrosage par jour</t>
  </si>
  <si>
    <t xml:space="preserve">h</t>
  </si>
  <si>
    <t xml:space="preserve">nombre x duree, converti en heures</t>
  </si>
  <si>
    <t xml:space="preserve">Energie de veille par jour</t>
  </si>
  <si>
    <t xml:space="preserve">Wh</t>
  </si>
  <si>
    <t xml:space="preserve">puissance x duree</t>
  </si>
  <si>
    <t xml:space="preserve">Energie d'arrosage par jour</t>
  </si>
  <si>
    <t xml:space="preserve">Besoin total par jour</t>
  </si>
  <si>
    <t xml:space="preserve">somme des deux precedentes</t>
  </si>
  <si>
    <t xml:space="preserve">Part de la veille</t>
  </si>
  <si>
    <t xml:space="preserve">la veille pese plus que l'arrosage</t>
  </si>
  <si>
    <t xml:space="preserve">Production du panneau par jour</t>
  </si>
  <si>
    <t xml:space="preserve">puissance x heures equivalentes</t>
  </si>
  <si>
    <t xml:space="preserve">Production utile apres pertes</t>
  </si>
  <si>
    <t xml:space="preserve">production x rendement de charge</t>
  </si>
  <si>
    <t xml:space="preserve">Rapport production sur consommation</t>
  </si>
  <si>
    <t xml:space="preserve">marge de securite</t>
  </si>
  <si>
    <t xml:space="preserve">Energie stockee dans l'accumulateur</t>
  </si>
  <si>
    <t xml:space="preserve">capacite en Ah x tension</t>
  </si>
  <si>
    <t xml:space="preserve">Autonomie sans soleil</t>
  </si>
  <si>
    <t xml:space="preserve">energie stockee divisee par le besoin</t>
  </si>
  <si>
    <t xml:space="preserve">Contrainte FP2</t>
  </si>
  <si>
    <t xml:space="preserve">Budget du projet</t>
  </si>
  <si>
    <t xml:space="preserve">Prix indicatifs releves a Tegucigalpa. A actualiser au moment de la demande d'achat.</t>
  </si>
  <si>
    <t xml:space="preserve">Poste</t>
  </si>
  <si>
    <t xml:space="preserve">Article</t>
  </si>
  <si>
    <t xml:space="preserve">Quantite</t>
  </si>
  <si>
    <t xml:space="preserve">Prix unitaire (L)</t>
  </si>
  <si>
    <t xml:space="preserve">Total (L)</t>
  </si>
  <si>
    <t xml:space="preserve">Structure</t>
  </si>
  <si>
    <t xml:space="preserve">Palettes bois traitees HT</t>
  </si>
  <si>
    <t xml:space="preserve">Vis a bois 5x60, boite de 200</t>
  </si>
  <si>
    <t xml:space="preserve">Equerres galvanisees</t>
  </si>
  <si>
    <t xml:space="preserve">Geotextile, rouleau 10 m</t>
  </si>
  <si>
    <t xml:space="preserve">Terre vegetale, sac de 40 L</t>
  </si>
  <si>
    <t xml:space="preserve">Compost, sac de 40 L</t>
  </si>
  <si>
    <t xml:space="preserve">Paillage ecorce, sac</t>
  </si>
  <si>
    <t xml:space="preserve">Peinture exterieure, 1 L</t>
  </si>
  <si>
    <t xml:space="preserve">Plantes</t>
  </si>
  <si>
    <t xml:space="preserve">Plants et semences</t>
  </si>
  <si>
    <t xml:space="preserve">Eau</t>
  </si>
  <si>
    <t xml:space="preserve">Fut plastique 200 L avec couvercle</t>
  </si>
  <si>
    <t xml:space="preserve">Gouttiere PVC 3 m et coudes</t>
  </si>
  <si>
    <t xml:space="preserve">Robinet de puisage et passe-cloison</t>
  </si>
  <si>
    <t xml:space="preserve">Filtre a feuilles inox</t>
  </si>
  <si>
    <t xml:space="preserve">Tuyau goutte a goutte 16 mm, 50 m</t>
  </si>
  <si>
    <t xml:space="preserve">Goutteurs reglables 2 L/h</t>
  </si>
  <si>
    <t xml:space="preserve">Raccords, tes, bouchons</t>
  </si>
  <si>
    <t xml:space="preserve">Commande</t>
  </si>
  <si>
    <t xml:space="preserve">micro:bit v2 avec cable USB</t>
  </si>
  <si>
    <t xml:space="preserve">Support de piles micro:bit</t>
  </si>
  <si>
    <t xml:space="preserve">Capteur d'humidite capacitif</t>
  </si>
  <si>
    <t xml:space="preserve">Module relais 1 canal 5 V</t>
  </si>
  <si>
    <t xml:space="preserve">Pompe submersible 5 V</t>
  </si>
  <si>
    <t xml:space="preserve">Panneau solaire 6 V 2 W</t>
  </si>
  <si>
    <t xml:space="preserve">Regulateur et accumulateur 18650</t>
  </si>
  <si>
    <t xml:space="preserve">Boitier etanche IP65</t>
  </si>
  <si>
    <t xml:space="preserve">Fils et connecteurs</t>
  </si>
  <si>
    <t xml:space="preserve">Multimetre</t>
  </si>
  <si>
    <t xml:space="preserve">Total general</t>
  </si>
  <si>
    <t xml:space="preserve">Taux de change L pour 1 EUR</t>
  </si>
  <si>
    <t xml:space="preserve">Total en euros</t>
  </si>
  <si>
    <t xml:space="preserve">Sous-total Structure</t>
  </si>
  <si>
    <t xml:space="preserve">Sous-total Plantes</t>
  </si>
  <si>
    <t xml:space="preserve">Sous-total Eau</t>
  </si>
  <si>
    <t xml:space="preserve">Sous-total Commande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</si>
</sst>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.0%"/>
    <numFmt numFmtId="168" formatCode="0.0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4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C4D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9E4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5AE"/>
      </left>
      <right style="thin">
        <color rgb="FF9FB5AE"/>
      </right>
      <top style="thin">
        <color rgb="FF9FB5AE"/>
      </top>
      <bottom style="thin">
        <color rgb="FF9FB5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5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4" t="s">
        <v>26</v>
      </c>
      <c r="B4" s="4" t="s">
        <v>27</v>
      </c>
      <c r="C4" s="4" t="s">
        <v>28</v>
      </c>
      <c r="D4" s="4" t="s">
        <v>29</v>
      </c>
    </row>
    <row r="5" customFormat="false" ht="15" hidden="false" customHeight="false" outlineLevel="0" collapsed="false">
      <c r="A5" s="5" t="s">
        <v>30</v>
      </c>
      <c r="B5" s="6" t="n">
        <v>12</v>
      </c>
      <c r="C5" s="5" t="s">
        <v>31</v>
      </c>
      <c r="D5" s="5" t="s">
        <v>32</v>
      </c>
    </row>
    <row r="6" customFormat="false" ht="15" hidden="false" customHeight="false" outlineLevel="0" collapsed="false">
      <c r="A6" s="5" t="s">
        <v>33</v>
      </c>
      <c r="B6" s="6" t="n">
        <v>4</v>
      </c>
      <c r="C6" s="5" t="s">
        <v>31</v>
      </c>
      <c r="D6" s="5" t="s">
        <v>32</v>
      </c>
    </row>
    <row r="7" customFormat="false" ht="15" hidden="false" customHeight="false" outlineLevel="0" collapsed="false">
      <c r="A7" s="5" t="s">
        <v>34</v>
      </c>
      <c r="B7" s="6" t="n">
        <v>0.6</v>
      </c>
      <c r="C7" s="5" t="s">
        <v>31</v>
      </c>
      <c r="D7" s="5" t="s">
        <v>35</v>
      </c>
    </row>
    <row r="8" customFormat="false" ht="15" hidden="false" customHeight="false" outlineLevel="0" collapsed="false">
      <c r="A8" s="5" t="s">
        <v>36</v>
      </c>
      <c r="B8" s="6" t="n">
        <v>1.2</v>
      </c>
      <c r="C8" s="5" t="s">
        <v>31</v>
      </c>
      <c r="D8" s="5" t="s">
        <v>37</v>
      </c>
    </row>
    <row r="9" customFormat="false" ht="15" hidden="false" customHeight="false" outlineLevel="0" collapsed="false">
      <c r="A9" s="5" t="s">
        <v>38</v>
      </c>
      <c r="B9" s="6" t="n">
        <v>8</v>
      </c>
      <c r="C9" s="5"/>
      <c r="D9" s="5" t="s">
        <v>39</v>
      </c>
    </row>
    <row r="10" customFormat="false" ht="15" hidden="false" customHeight="false" outlineLevel="0" collapsed="false">
      <c r="A10" s="5" t="s">
        <v>40</v>
      </c>
      <c r="B10" s="6" t="n">
        <v>1.2</v>
      </c>
      <c r="C10" s="5" t="s">
        <v>31</v>
      </c>
      <c r="D10" s="5" t="s">
        <v>41</v>
      </c>
    </row>
    <row r="11" customFormat="false" ht="15" hidden="false" customHeight="false" outlineLevel="0" collapsed="false">
      <c r="A11" s="5" t="s">
        <v>42</v>
      </c>
      <c r="B11" s="6" t="n">
        <v>0.8</v>
      </c>
      <c r="C11" s="5" t="s">
        <v>31</v>
      </c>
      <c r="D11" s="5" t="s">
        <v>41</v>
      </c>
    </row>
    <row r="12" customFormat="false" ht="15" hidden="false" customHeight="false" outlineLevel="0" collapsed="false">
      <c r="A12" s="5" t="s">
        <v>43</v>
      </c>
      <c r="B12" s="6" t="n">
        <v>180</v>
      </c>
      <c r="C12" s="5" t="s">
        <v>44</v>
      </c>
      <c r="D12" s="5" t="s">
        <v>45</v>
      </c>
    </row>
    <row r="13" customFormat="false" ht="15" hidden="false" customHeight="false" outlineLevel="0" collapsed="false">
      <c r="A13" s="5" t="s">
        <v>46</v>
      </c>
      <c r="B13" s="6" t="n">
        <v>5</v>
      </c>
      <c r="C13" s="5" t="s">
        <v>47</v>
      </c>
      <c r="D13" s="5" t="s">
        <v>48</v>
      </c>
    </row>
    <row r="14" customFormat="false" ht="15" hidden="false" customHeight="false" outlineLevel="0" collapsed="false">
      <c r="A14" s="5" t="s">
        <v>49</v>
      </c>
      <c r="B14" s="6" t="n">
        <v>1</v>
      </c>
      <c r="C14" s="5" t="s">
        <v>47</v>
      </c>
      <c r="D14" s="5" t="s">
        <v>50</v>
      </c>
    </row>
    <row r="15" customFormat="false" ht="15" hidden="false" customHeight="false" outlineLevel="0" collapsed="false">
      <c r="A15" s="5" t="s">
        <v>51</v>
      </c>
      <c r="B15" s="6" t="n">
        <v>2.7</v>
      </c>
      <c r="C15" s="5" t="s">
        <v>52</v>
      </c>
      <c r="D15" s="5" t="s">
        <v>53</v>
      </c>
    </row>
    <row r="16" customFormat="false" ht="15" hidden="false" customHeight="false" outlineLevel="0" collapsed="false">
      <c r="A16" s="5" t="s">
        <v>54</v>
      </c>
      <c r="B16" s="6" t="n">
        <v>6</v>
      </c>
      <c r="C16" s="5" t="s">
        <v>52</v>
      </c>
      <c r="D16" s="5" t="s">
        <v>55</v>
      </c>
    </row>
    <row r="17" customFormat="false" ht="15" hidden="false" customHeight="false" outlineLevel="0" collapsed="false">
      <c r="A17" s="5" t="s">
        <v>56</v>
      </c>
      <c r="B17" s="6" t="n">
        <v>70</v>
      </c>
      <c r="C17" s="5" t="s">
        <v>57</v>
      </c>
      <c r="D17" s="5" t="s">
        <v>58</v>
      </c>
    </row>
    <row r="18" customFormat="false" ht="15" hidden="false" customHeight="false" outlineLevel="0" collapsed="false">
      <c r="A18" s="5" t="s">
        <v>59</v>
      </c>
      <c r="B18" s="6" t="n">
        <v>900</v>
      </c>
      <c r="C18" s="5" t="s">
        <v>60</v>
      </c>
      <c r="D18" s="5" t="s">
        <v>61</v>
      </c>
    </row>
    <row r="19" customFormat="false" ht="15" hidden="false" customHeight="false" outlineLevel="0" collapsed="false">
      <c r="A19" s="5" t="s">
        <v>62</v>
      </c>
      <c r="B19" s="6" t="n">
        <v>0.8</v>
      </c>
      <c r="C19" s="5"/>
      <c r="D19" s="5" t="s">
        <v>63</v>
      </c>
    </row>
    <row r="20" customFormat="false" ht="15" hidden="false" customHeight="false" outlineLevel="0" collapsed="false">
      <c r="A20" s="5" t="s">
        <v>64</v>
      </c>
      <c r="B20" s="6" t="n">
        <v>200</v>
      </c>
      <c r="C20" s="5" t="s">
        <v>65</v>
      </c>
      <c r="D20" s="5" t="s">
        <v>66</v>
      </c>
    </row>
    <row r="21" customFormat="false" ht="15" hidden="false" customHeight="false" outlineLevel="0" collapsed="false">
      <c r="A21" s="5" t="s">
        <v>67</v>
      </c>
      <c r="B21" s="6" t="n">
        <v>2</v>
      </c>
      <c r="C21" s="5" t="s">
        <v>68</v>
      </c>
      <c r="D21" s="5" t="s">
        <v>69</v>
      </c>
    </row>
    <row r="22" customFormat="false" ht="15" hidden="false" customHeight="false" outlineLevel="0" collapsed="false">
      <c r="A22" s="5" t="s">
        <v>70</v>
      </c>
      <c r="B22" s="6" t="n">
        <v>0.03</v>
      </c>
      <c r="C22" s="5" t="s">
        <v>71</v>
      </c>
      <c r="D22" s="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4" t="s">
        <v>74</v>
      </c>
      <c r="B3" s="4" t="s">
        <v>27</v>
      </c>
      <c r="C3" s="4" t="s">
        <v>28</v>
      </c>
      <c r="D3" s="4" t="s">
        <v>75</v>
      </c>
    </row>
    <row r="4" customFormat="false" ht="15" hidden="false" customHeight="false" outlineLevel="0" collapsed="false">
      <c r="A4" s="5" t="s">
        <v>76</v>
      </c>
      <c r="B4" s="7" t="n">
        <f aca="false">Parametres!B5*Parametres!B6</f>
        <v>48</v>
      </c>
      <c r="C4" s="5" t="s">
        <v>57</v>
      </c>
      <c r="D4" s="5" t="s">
        <v>77</v>
      </c>
    </row>
    <row r="5" customFormat="false" ht="15" hidden="false" customHeight="false" outlineLevel="0" collapsed="false">
      <c r="A5" s="5" t="s">
        <v>78</v>
      </c>
      <c r="B5" s="7" t="n">
        <f aca="false">Parametres!B5*Parametres!B7</f>
        <v>7.2</v>
      </c>
      <c r="C5" s="5" t="s">
        <v>57</v>
      </c>
      <c r="D5" s="5" t="s">
        <v>79</v>
      </c>
    </row>
    <row r="6" customFormat="false" ht="15" hidden="false" customHeight="false" outlineLevel="0" collapsed="false">
      <c r="A6" s="5" t="s">
        <v>80</v>
      </c>
      <c r="B6" s="7" t="n">
        <f aca="false">Parametres!B5*Parametres!B8</f>
        <v>14.4</v>
      </c>
      <c r="C6" s="5" t="s">
        <v>57</v>
      </c>
      <c r="D6" s="5" t="s">
        <v>81</v>
      </c>
    </row>
    <row r="7" customFormat="false" ht="15" hidden="false" customHeight="false" outlineLevel="0" collapsed="false">
      <c r="A7" s="5" t="s">
        <v>82</v>
      </c>
      <c r="B7" s="7" t="n">
        <f aca="false">B4-B5-B6</f>
        <v>26.4</v>
      </c>
      <c r="C7" s="5" t="s">
        <v>57</v>
      </c>
      <c r="D7" s="5" t="s">
        <v>83</v>
      </c>
    </row>
    <row r="8" customFormat="false" ht="15" hidden="false" customHeight="false" outlineLevel="0" collapsed="false">
      <c r="A8" s="5" t="s">
        <v>84</v>
      </c>
      <c r="B8" s="7" t="n">
        <f aca="false">Parametres!B9*Parametres!B10*Parametres!B11</f>
        <v>7.68</v>
      </c>
      <c r="C8" s="5" t="s">
        <v>57</v>
      </c>
      <c r="D8" s="5" t="s">
        <v>85</v>
      </c>
    </row>
    <row r="9" customFormat="false" ht="15" hidden="false" customHeight="false" outlineLevel="0" collapsed="false">
      <c r="A9" s="2"/>
      <c r="C9" s="2"/>
      <c r="D9" s="2"/>
    </row>
    <row r="10" customFormat="false" ht="15" hidden="false" customHeight="false" outlineLevel="0" collapsed="false">
      <c r="A10" s="5" t="s">
        <v>86</v>
      </c>
      <c r="B10" s="8" t="n">
        <f aca="false">Parametres!B15*Parametres!B12</f>
        <v>486</v>
      </c>
      <c r="C10" s="5" t="s">
        <v>65</v>
      </c>
      <c r="D10" s="5" t="s">
        <v>87</v>
      </c>
    </row>
    <row r="11" customFormat="false" ht="15" hidden="false" customHeight="false" outlineLevel="0" collapsed="false">
      <c r="A11" s="5" t="s">
        <v>88</v>
      </c>
      <c r="B11" s="8" t="n">
        <f aca="false">Parametres!B16*Parametres!B12</f>
        <v>1080</v>
      </c>
      <c r="C11" s="5" t="s">
        <v>65</v>
      </c>
      <c r="D11" s="5" t="s">
        <v>89</v>
      </c>
    </row>
    <row r="12" customFormat="false" ht="15" hidden="false" customHeight="false" outlineLevel="0" collapsed="false">
      <c r="A12" s="5" t="s">
        <v>90</v>
      </c>
      <c r="B12" s="8" t="n">
        <f aca="false">Parametres!B13*B8*Parametres!B12</f>
        <v>6912</v>
      </c>
      <c r="C12" s="5" t="s">
        <v>65</v>
      </c>
      <c r="D12" s="5" t="s">
        <v>91</v>
      </c>
    </row>
    <row r="13" customFormat="false" ht="15" hidden="false" customHeight="false" outlineLevel="0" collapsed="false">
      <c r="A13" s="5" t="s">
        <v>92</v>
      </c>
      <c r="B13" s="8" t="n">
        <f aca="false">B12-B10</f>
        <v>6426</v>
      </c>
      <c r="C13" s="5" t="s">
        <v>65</v>
      </c>
      <c r="D13" s="5" t="s">
        <v>93</v>
      </c>
    </row>
    <row r="14" customFormat="false" ht="15" hidden="false" customHeight="false" outlineLevel="0" collapsed="false">
      <c r="A14" s="5" t="s">
        <v>94</v>
      </c>
      <c r="B14" s="9" t="n">
        <f aca="false">1-B10/B12</f>
        <v>0.9296875</v>
      </c>
      <c r="C14" s="5"/>
      <c r="D14" s="5" t="s">
        <v>95</v>
      </c>
    </row>
    <row r="15" customFormat="false" ht="15" hidden="false" customHeight="false" outlineLevel="0" collapsed="false">
      <c r="A15" s="2"/>
      <c r="C15" s="2"/>
      <c r="D15" s="2"/>
    </row>
    <row r="16" customFormat="false" ht="15" hidden="false" customHeight="false" outlineLevel="0" collapsed="false">
      <c r="A16" s="5" t="s">
        <v>96</v>
      </c>
      <c r="B16" s="7" t="n">
        <f aca="false">B10/(B8*Parametres!B12)</f>
        <v>0.3515625</v>
      </c>
      <c r="C16" s="5" t="s">
        <v>47</v>
      </c>
      <c r="D16" s="5" t="s">
        <v>97</v>
      </c>
    </row>
    <row r="17" customFormat="false" ht="15" hidden="false" customHeight="false" outlineLevel="0" collapsed="false">
      <c r="A17" s="5" t="s">
        <v>49</v>
      </c>
      <c r="B17" s="7" t="n">
        <f aca="false">Parametres!B14</f>
        <v>1</v>
      </c>
      <c r="C17" s="5" t="s">
        <v>47</v>
      </c>
      <c r="D17" s="5" t="s">
        <v>98</v>
      </c>
    </row>
    <row r="18" customFormat="false" ht="15" hidden="false" customHeight="false" outlineLevel="0" collapsed="false">
      <c r="A18" s="10" t="s">
        <v>50</v>
      </c>
      <c r="B18" s="11" t="str">
        <f aca="false">IF(B16&lt;=B17,"RESPECTEE","NON RESPECTEE")</f>
        <v>RESPECTEE</v>
      </c>
      <c r="C18" s="5"/>
      <c r="D18" s="5" t="s">
        <v>99</v>
      </c>
    </row>
    <row r="19" customFormat="false" ht="15" hidden="false" customHeight="false" outlineLevel="0" collapsed="false">
      <c r="A19" s="5" t="s">
        <v>100</v>
      </c>
      <c r="B19" s="9" t="n">
        <f aca="false">1-B16/B17</f>
        <v>0.6484375</v>
      </c>
      <c r="C19" s="5"/>
      <c r="D19" s="5" t="s">
        <v>101</v>
      </c>
    </row>
    <row r="20" customFormat="false" ht="15" hidden="false" customHeight="false" outlineLevel="0" collapsed="false">
      <c r="A20" s="2"/>
      <c r="C20" s="2"/>
      <c r="D20" s="2"/>
    </row>
    <row r="21" customFormat="false" ht="15" hidden="false" customHeight="false" outlineLevel="0" collapsed="false">
      <c r="A21" s="5" t="s">
        <v>102</v>
      </c>
      <c r="B21" s="8" t="n">
        <f aca="false">Parametres!B17*Parametres!B18*Parametres!B19</f>
        <v>50400</v>
      </c>
      <c r="C21" s="5" t="s">
        <v>65</v>
      </c>
      <c r="D21" s="5" t="s">
        <v>103</v>
      </c>
    </row>
    <row r="22" customFormat="false" ht="15" hidden="false" customHeight="false" outlineLevel="0" collapsed="false">
      <c r="A22" s="5" t="s">
        <v>104</v>
      </c>
      <c r="B22" s="9" t="n">
        <f aca="false">B10/B21</f>
        <v>0.00964285714285714</v>
      </c>
      <c r="C22" s="5"/>
      <c r="D22" s="5" t="s">
        <v>105</v>
      </c>
    </row>
    <row r="23" customFormat="false" ht="15" hidden="false" customHeight="false" outlineLevel="0" collapsed="false">
      <c r="A23" s="5" t="s">
        <v>106</v>
      </c>
      <c r="B23" s="7" t="n">
        <f aca="false">Parametres!B20/Parametres!B15</f>
        <v>74.0740740740741</v>
      </c>
      <c r="C23" s="5" t="s">
        <v>44</v>
      </c>
      <c r="D23" s="5" t="s">
        <v>107</v>
      </c>
    </row>
    <row r="24" customFormat="false" ht="15" hidden="false" customHeight="false" outlineLevel="0" collapsed="false">
      <c r="A24" s="5" t="s">
        <v>108</v>
      </c>
      <c r="B24" s="7" t="n">
        <f aca="false">ROUNDUP(B10/Parametres!B20,0)</f>
        <v>3</v>
      </c>
      <c r="C24" s="5"/>
      <c r="D24" s="5" t="s">
        <v>109</v>
      </c>
    </row>
    <row r="25" customFormat="false" ht="15" hidden="false" customHeight="false" outlineLevel="0" collapsed="false">
      <c r="A25" s="2"/>
      <c r="C25" s="2"/>
      <c r="D25" s="2"/>
    </row>
    <row r="26" customFormat="false" ht="15" hidden="false" customHeight="false" outlineLevel="0" collapsed="false">
      <c r="A26" s="5" t="s">
        <v>110</v>
      </c>
      <c r="B26" s="7" t="n">
        <f aca="false">Parametres!B15/(Parametres!B9*Parametres!B21)*60</f>
        <v>10.125</v>
      </c>
      <c r="C26" s="5" t="s">
        <v>111</v>
      </c>
      <c r="D26" s="5" t="s">
        <v>112</v>
      </c>
    </row>
    <row r="27" customFormat="false" ht="15" hidden="false" customHeight="false" outlineLevel="0" collapsed="false">
      <c r="A27" s="5" t="s">
        <v>113</v>
      </c>
      <c r="B27" s="8" t="n">
        <v>0</v>
      </c>
      <c r="C27" s="5" t="s">
        <v>65</v>
      </c>
      <c r="D27" s="5" t="s">
        <v>114</v>
      </c>
    </row>
    <row r="28" customFormat="false" ht="15" hidden="false" customHeight="false" outlineLevel="0" collapsed="false">
      <c r="A28" s="5" t="s">
        <v>115</v>
      </c>
      <c r="B28" s="8" t="n">
        <f aca="false">B13*Parametres!B22</f>
        <v>192.78</v>
      </c>
      <c r="C28" s="5" t="s">
        <v>116</v>
      </c>
      <c r="D28" s="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8" style="0" width="28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4" t="s">
        <v>120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125</v>
      </c>
      <c r="H4" s="3" t="s">
        <v>126</v>
      </c>
    </row>
    <row r="5" customFormat="false" ht="15" hidden="false" customHeight="false" outlineLevel="0" collapsed="false">
      <c r="A5" s="6" t="n">
        <v>1800</v>
      </c>
      <c r="B5" s="6" t="n">
        <v>3</v>
      </c>
      <c r="C5" s="6" t="n">
        <v>34</v>
      </c>
      <c r="D5" s="6" t="n">
        <v>0</v>
      </c>
      <c r="E5" s="7" t="n">
        <f aca="false">A5/3600</f>
        <v>0.5</v>
      </c>
      <c r="F5" s="5" t="str">
        <f aca="false">IF(C5&lt;0,"capteur en defaut",IF(D5=1,"arrosage en cours","au repos"))</f>
        <v>au repos</v>
      </c>
      <c r="H5" s="5" t="s">
        <v>127</v>
      </c>
      <c r="I5" s="12" t="n">
        <f aca="false">COUNT(A5:A200)</f>
        <v>1</v>
      </c>
    </row>
    <row r="6" customFormat="false" ht="15" hidden="false" customHeight="false" outlineLevel="0" collapsed="false">
      <c r="E6" s="7" t="str">
        <f aca="false">IF(A6="","",A6/3600)</f>
        <v/>
      </c>
      <c r="F6" s="5" t="str">
        <f aca="false">IF(A6="","",IF(C6&lt;0,"capteur en defaut",IF(D6=1,"arrosage en cours","au repos")))</f>
        <v/>
      </c>
      <c r="H6" s="5" t="s">
        <v>128</v>
      </c>
      <c r="I6" s="12" t="n">
        <f aca="false">SUMIFS(D5:D200,D5:D200,1)</f>
        <v>0</v>
      </c>
    </row>
    <row r="7" customFormat="false" ht="15" hidden="false" customHeight="false" outlineLevel="0" collapsed="false">
      <c r="E7" s="7" t="str">
        <f aca="false">IF(A7="","",A7/3600)</f>
        <v/>
      </c>
      <c r="F7" s="5" t="str">
        <f aca="false">IF(A7="","",IF(C7&lt;0,"capteur en defaut",IF(D7=1,"arrosage en cours","au repos")))</f>
        <v/>
      </c>
      <c r="H7" s="5" t="s">
        <v>129</v>
      </c>
      <c r="I7" s="12" t="n">
        <f aca="false">IFERROR(AVERAGEIF(C5:C200,"&gt;=0"),0)</f>
        <v>34</v>
      </c>
    </row>
    <row r="8" customFormat="false" ht="15" hidden="false" customHeight="false" outlineLevel="0" collapsed="false">
      <c r="E8" s="7" t="str">
        <f aca="false">IF(A8="","",A8/3600)</f>
        <v/>
      </c>
      <c r="F8" s="5" t="str">
        <f aca="false">IF(A8="","",IF(C8&lt;0,"capteur en defaut",IF(D8=1,"arrosage en cours","au repos")))</f>
        <v/>
      </c>
      <c r="H8" s="5" t="s">
        <v>130</v>
      </c>
      <c r="I8" s="12" t="n">
        <f aca="false">IFERROR(MIN(C5:C200),0)</f>
        <v>34</v>
      </c>
    </row>
    <row r="9" customFormat="false" ht="15" hidden="false" customHeight="false" outlineLevel="0" collapsed="false">
      <c r="E9" s="7" t="str">
        <f aca="false">IF(A9="","",A9/3600)</f>
        <v/>
      </c>
      <c r="F9" s="5" t="str">
        <f aca="false">IF(A9="","",IF(C9&lt;0,"capteur en defaut",IF(D9=1,"arrosage en cours","au repos")))</f>
        <v/>
      </c>
      <c r="H9" s="5" t="s">
        <v>131</v>
      </c>
      <c r="I9" s="12" t="n">
        <f aca="false">IFERROR(MAX(C5:C200),0)</f>
        <v>34</v>
      </c>
    </row>
    <row r="10" customFormat="false" ht="15" hidden="false" customHeight="false" outlineLevel="0" collapsed="false">
      <c r="E10" s="7" t="str">
        <f aca="false">IF(A10="","",A10/3600)</f>
        <v/>
      </c>
      <c r="F10" s="5" t="str">
        <f aca="false">IF(A10="","",IF(C10&lt;0,"capteur en defaut",IF(D10=1,"arrosage en cours","au repos")))</f>
        <v/>
      </c>
      <c r="H10" s="5" t="s">
        <v>132</v>
      </c>
      <c r="I10" s="12" t="n">
        <f aca="false">COUNTIF(C5:C200,"&lt;0")</f>
        <v>0</v>
      </c>
    </row>
    <row r="11" customFormat="false" ht="15" hidden="false" customHeight="false" outlineLevel="0" collapsed="false">
      <c r="E11" s="7" t="str">
        <f aca="false">IF(A11="","",A11/3600)</f>
        <v/>
      </c>
      <c r="F11" s="5" t="str">
        <f aca="false">IF(A11="","",IF(C11&lt;0,"capteur en defaut",IF(D11=1,"arrosage en cours","au repos")))</f>
        <v/>
      </c>
      <c r="H11" s="5" t="s">
        <v>133</v>
      </c>
      <c r="I11" s="12" t="n">
        <f aca="false">IFERROR((MAX(A5:A200)-MIN(A5:A200))/3600,0)</f>
        <v>0</v>
      </c>
    </row>
    <row r="12" customFormat="false" ht="15" hidden="false" customHeight="false" outlineLevel="0" collapsed="false">
      <c r="E12" s="7" t="str">
        <f aca="false">IF(A12="","",A12/3600)</f>
        <v/>
      </c>
      <c r="F12" s="5" t="str">
        <f aca="false">IF(A12="","",IF(C12&lt;0,"capteur en defaut",IF(D12=1,"arrosage en cours","au repos")))</f>
        <v/>
      </c>
    </row>
    <row r="13" customFormat="false" ht="15" hidden="false" customHeight="false" outlineLevel="0" collapsed="false">
      <c r="E13" s="7" t="str">
        <f aca="false">IF(A13="","",A13/3600)</f>
        <v/>
      </c>
      <c r="F13" s="5" t="str">
        <f aca="false">IF(A13="","",IF(C13&lt;0,"capteur en defaut",IF(D13=1,"arrosage en cours","au repos")))</f>
        <v/>
      </c>
    </row>
    <row r="14" customFormat="false" ht="15" hidden="false" customHeight="false" outlineLevel="0" collapsed="false">
      <c r="E14" s="7" t="str">
        <f aca="false">IF(A14="","",A14/3600)</f>
        <v/>
      </c>
      <c r="F14" s="5" t="str">
        <f aca="false">IF(A14="","",IF(C14&lt;0,"capteur en defaut",IF(D14=1,"arrosage en cours","au repos")))</f>
        <v/>
      </c>
    </row>
    <row r="15" customFormat="false" ht="15" hidden="false" customHeight="false" outlineLevel="0" collapsed="false">
      <c r="E15" s="7" t="str">
        <f aca="false">IF(A15="","",A15/3600)</f>
        <v/>
      </c>
      <c r="F15" s="5" t="str">
        <f aca="false">IF(A15="","",IF(C15&lt;0,"capteur en defaut",IF(D15=1,"arrosage en cours","au repos")))</f>
        <v/>
      </c>
    </row>
    <row r="16" customFormat="false" ht="15" hidden="false" customHeight="false" outlineLevel="0" collapsed="false">
      <c r="E16" s="7" t="str">
        <f aca="false">IF(A16="","",A16/3600)</f>
        <v/>
      </c>
      <c r="F16" s="5" t="str">
        <f aca="false">IF(A16="","",IF(C16&lt;0,"capteur en defaut",IF(D16=1,"arrosage en cours","au repos")))</f>
        <v/>
      </c>
    </row>
    <row r="17" customFormat="false" ht="15" hidden="false" customHeight="false" outlineLevel="0" collapsed="false">
      <c r="E17" s="7" t="str">
        <f aca="false">IF(A17="","",A17/3600)</f>
        <v/>
      </c>
      <c r="F17" s="5" t="str">
        <f aca="false">IF(A17="","",IF(C17&lt;0,"capteur en defaut",IF(D17=1,"arrosage en cours","au repos")))</f>
        <v/>
      </c>
    </row>
    <row r="18" customFormat="false" ht="15" hidden="false" customHeight="false" outlineLevel="0" collapsed="false">
      <c r="E18" s="7" t="str">
        <f aca="false">IF(A18="","",A18/3600)</f>
        <v/>
      </c>
      <c r="F18" s="5" t="str">
        <f aca="false">IF(A18="","",IF(C18&lt;0,"capteur en defaut",IF(D18=1,"arrosage en cours","au repos")))</f>
        <v/>
      </c>
    </row>
    <row r="19" customFormat="false" ht="15" hidden="false" customHeight="false" outlineLevel="0" collapsed="false">
      <c r="E19" s="7" t="str">
        <f aca="false">IF(A19="","",A19/3600)</f>
        <v/>
      </c>
      <c r="F19" s="5" t="str">
        <f aca="false">IF(A19="","",IF(C19&lt;0,"capteur en defaut",IF(D19=1,"arrosage en cours","au repos")))</f>
        <v/>
      </c>
    </row>
    <row r="20" customFormat="false" ht="15" hidden="false" customHeight="false" outlineLevel="0" collapsed="false">
      <c r="E20" s="7" t="str">
        <f aca="false">IF(A20="","",A20/3600)</f>
        <v/>
      </c>
      <c r="F20" s="5" t="str">
        <f aca="false">IF(A20="","",IF(C20&lt;0,"capteur en defaut",IF(D20=1,"arrosage en cours","au repos")))</f>
        <v/>
      </c>
    </row>
    <row r="21" customFormat="false" ht="15" hidden="false" customHeight="false" outlineLevel="0" collapsed="false">
      <c r="E21" s="7" t="str">
        <f aca="false">IF(A21="","",A21/3600)</f>
        <v/>
      </c>
      <c r="F21" s="5" t="str">
        <f aca="false">IF(A21="","",IF(C21&lt;0,"capteur en defaut",IF(D21=1,"arrosage en cours","au repos")))</f>
        <v/>
      </c>
    </row>
    <row r="22" customFormat="false" ht="15" hidden="false" customHeight="false" outlineLevel="0" collapsed="false">
      <c r="E22" s="7" t="str">
        <f aca="false">IF(A22="","",A22/3600)</f>
        <v/>
      </c>
      <c r="F22" s="5" t="str">
        <f aca="false">IF(A22="","",IF(C22&lt;0,"capteur en defaut",IF(D22=1,"arrosage en cours","au repos")))</f>
        <v/>
      </c>
    </row>
    <row r="23" customFormat="false" ht="15" hidden="false" customHeight="false" outlineLevel="0" collapsed="false">
      <c r="E23" s="7" t="str">
        <f aca="false">IF(A23="","",A23/3600)</f>
        <v/>
      </c>
      <c r="F23" s="5" t="str">
        <f aca="false">IF(A23="","",IF(C23&lt;0,"capteur en defaut",IF(D23=1,"arrosage en cours","au repos")))</f>
        <v/>
      </c>
    </row>
    <row r="24" customFormat="false" ht="15" hidden="false" customHeight="false" outlineLevel="0" collapsed="false">
      <c r="E24" s="7" t="str">
        <f aca="false">IF(A24="","",A24/3600)</f>
        <v/>
      </c>
      <c r="F24" s="5" t="str">
        <f aca="false">IF(A24="","",IF(C24&lt;0,"capteur en defaut",IF(D24=1,"arrosage en cours","au repos")))</f>
        <v/>
      </c>
    </row>
    <row r="25" customFormat="false" ht="15" hidden="false" customHeight="false" outlineLevel="0" collapsed="false">
      <c r="E25" s="7" t="str">
        <f aca="false">IF(A25="","",A25/3600)</f>
        <v/>
      </c>
      <c r="F25" s="5" t="str">
        <f aca="false">IF(A25="","",IF(C25&lt;0,"capteur en defaut",IF(D25=1,"arrosage en cours","au repos")))</f>
        <v/>
      </c>
    </row>
    <row r="26" customFormat="false" ht="15" hidden="false" customHeight="false" outlineLevel="0" collapsed="false">
      <c r="E26" s="7" t="str">
        <f aca="false">IF(A26="","",A26/3600)</f>
        <v/>
      </c>
      <c r="F26" s="5" t="str">
        <f aca="false">IF(A26="","",IF(C26&lt;0,"capteur en defaut",IF(D26=1,"arrosage en cours","au repos")))</f>
        <v/>
      </c>
    </row>
    <row r="27" customFormat="false" ht="15" hidden="false" customHeight="false" outlineLevel="0" collapsed="false">
      <c r="E27" s="7" t="str">
        <f aca="false">IF(A27="","",A27/3600)</f>
        <v/>
      </c>
      <c r="F27" s="5" t="str">
        <f aca="false">IF(A27="","",IF(C27&lt;0,"capteur en defaut",IF(D27=1,"arrosage en cours","au repos")))</f>
        <v/>
      </c>
    </row>
    <row r="28" customFormat="false" ht="15" hidden="false" customHeight="false" outlineLevel="0" collapsed="false">
      <c r="E28" s="7" t="str">
        <f aca="false">IF(A28="","",A28/3600)</f>
        <v/>
      </c>
      <c r="F28" s="5" t="str">
        <f aca="false">IF(A28="","",IF(C28&lt;0,"capteur en defaut",IF(D28=1,"arrosage en cours","au repos")))</f>
        <v/>
      </c>
    </row>
    <row r="29" customFormat="false" ht="15" hidden="false" customHeight="false" outlineLevel="0" collapsed="false">
      <c r="E29" s="7" t="str">
        <f aca="false">IF(A29="","",A29/3600)</f>
        <v/>
      </c>
      <c r="F29" s="5" t="str">
        <f aca="false">IF(A29="","",IF(C29&lt;0,"capteur en defaut",IF(D29=1,"arrosage en cours","au repos")))</f>
        <v/>
      </c>
    </row>
    <row r="30" customFormat="false" ht="15" hidden="false" customHeight="false" outlineLevel="0" collapsed="false">
      <c r="E30" s="7" t="str">
        <f aca="false">IF(A30="","",A30/3600)</f>
        <v/>
      </c>
      <c r="F30" s="5" t="str">
        <f aca="false">IF(A30="","",IF(C30&lt;0,"capteur en defaut",IF(D30=1,"arrosage en cours","au repos")))</f>
        <v/>
      </c>
    </row>
    <row r="31" customFormat="false" ht="15" hidden="false" customHeight="false" outlineLevel="0" collapsed="false">
      <c r="E31" s="7" t="str">
        <f aca="false">IF(A31="","",A31/3600)</f>
        <v/>
      </c>
      <c r="F31" s="5" t="str">
        <f aca="false">IF(A31="","",IF(C31&lt;0,"capteur en defaut",IF(D31=1,"arrosage en cours","au repos")))</f>
        <v/>
      </c>
    </row>
    <row r="32" customFormat="false" ht="15" hidden="false" customHeight="false" outlineLevel="0" collapsed="false">
      <c r="E32" s="7" t="str">
        <f aca="false">IF(A32="","",A32/3600)</f>
        <v/>
      </c>
      <c r="F32" s="5" t="str">
        <f aca="false">IF(A32="","",IF(C32&lt;0,"capteur en defaut",IF(D32=1,"arrosage en cours","au repos")))</f>
        <v/>
      </c>
    </row>
    <row r="33" customFormat="false" ht="15" hidden="false" customHeight="false" outlineLevel="0" collapsed="false">
      <c r="E33" s="7" t="str">
        <f aca="false">IF(A33="","",A33/3600)</f>
        <v/>
      </c>
      <c r="F33" s="5" t="str">
        <f aca="false">IF(A33="","",IF(C33&lt;0,"capteur en defaut",IF(D33=1,"arrosage en cours","au repos")))</f>
        <v/>
      </c>
    </row>
    <row r="34" customFormat="false" ht="15" hidden="false" customHeight="false" outlineLevel="0" collapsed="false">
      <c r="E34" s="7" t="str">
        <f aca="false">IF(A34="","",A34/3600)</f>
        <v/>
      </c>
      <c r="F34" s="5" t="str">
        <f aca="false">IF(A34="","",IF(C34&lt;0,"capteur en defaut",IF(D34=1,"arrosage en cours","au repos")))</f>
        <v/>
      </c>
    </row>
    <row r="35" customFormat="false" ht="15" hidden="false" customHeight="false" outlineLevel="0" collapsed="false">
      <c r="E35" s="7" t="str">
        <f aca="false">IF(A35="","",A35/3600)</f>
        <v/>
      </c>
      <c r="F35" s="5" t="str">
        <f aca="false">IF(A35="","",IF(C35&lt;0,"capteur en defaut",IF(D35=1,"arrosage en cours","au repos")))</f>
        <v/>
      </c>
    </row>
    <row r="36" customFormat="false" ht="15" hidden="false" customHeight="false" outlineLevel="0" collapsed="false">
      <c r="E36" s="7" t="str">
        <f aca="false">IF(A36="","",A36/3600)</f>
        <v/>
      </c>
      <c r="F36" s="5" t="str">
        <f aca="false">IF(A36="","",IF(C36&lt;0,"capteur en defaut",IF(D36=1,"arrosage en cours","au repos")))</f>
        <v/>
      </c>
    </row>
    <row r="37" customFormat="false" ht="15" hidden="false" customHeight="false" outlineLevel="0" collapsed="false">
      <c r="E37" s="7" t="str">
        <f aca="false">IF(A37="","",A37/3600)</f>
        <v/>
      </c>
      <c r="F37" s="5" t="str">
        <f aca="false">IF(A37="","",IF(C37&lt;0,"capteur en defaut",IF(D37=1,"arrosage en cours","au repos")))</f>
        <v/>
      </c>
    </row>
    <row r="38" customFormat="false" ht="15" hidden="false" customHeight="false" outlineLevel="0" collapsed="false">
      <c r="E38" s="7" t="str">
        <f aca="false">IF(A38="","",A38/3600)</f>
        <v/>
      </c>
      <c r="F38" s="5" t="str">
        <f aca="false">IF(A38="","",IF(C38&lt;0,"capteur en defaut",IF(D38=1,"arrosage en cours","au repos")))</f>
        <v/>
      </c>
    </row>
    <row r="39" customFormat="false" ht="15" hidden="false" customHeight="false" outlineLevel="0" collapsed="false">
      <c r="E39" s="7" t="str">
        <f aca="false">IF(A39="","",A39/3600)</f>
        <v/>
      </c>
      <c r="F39" s="5" t="str">
        <f aca="false">IF(A39="","",IF(C39&lt;0,"capteur en defaut",IF(D39=1,"arrosage en cours","au repos")))</f>
        <v/>
      </c>
    </row>
    <row r="40" customFormat="false" ht="15" hidden="false" customHeight="false" outlineLevel="0" collapsed="false">
      <c r="E40" s="7" t="str">
        <f aca="false">IF(A40="","",A40/3600)</f>
        <v/>
      </c>
      <c r="F40" s="5" t="str">
        <f aca="false">IF(A40="","",IF(C40&lt;0,"capteur en defaut",IF(D40=1,"arrosage en cours","au repos")))</f>
        <v/>
      </c>
    </row>
    <row r="41" customFormat="false" ht="15" hidden="false" customHeight="false" outlineLevel="0" collapsed="false">
      <c r="E41" s="7" t="str">
        <f aca="false">IF(A41="","",A41/3600)</f>
        <v/>
      </c>
      <c r="F41" s="5" t="str">
        <f aca="false">IF(A41="","",IF(C41&lt;0,"capteur en defaut",IF(D41=1,"arrosage en cours","au repos")))</f>
        <v/>
      </c>
    </row>
    <row r="42" customFormat="false" ht="15" hidden="false" customHeight="false" outlineLevel="0" collapsed="false">
      <c r="E42" s="7" t="str">
        <f aca="false">IF(A42="","",A42/3600)</f>
        <v/>
      </c>
      <c r="F42" s="5" t="str">
        <f aca="false">IF(A42="","",IF(C42&lt;0,"capteur en defaut",IF(D42=1,"arrosage en cours","au repos")))</f>
        <v/>
      </c>
    </row>
    <row r="43" customFormat="false" ht="15" hidden="false" customHeight="false" outlineLevel="0" collapsed="false">
      <c r="E43" s="7" t="str">
        <f aca="false">IF(A43="","",A43/3600)</f>
        <v/>
      </c>
      <c r="F43" s="5" t="str">
        <f aca="false">IF(A43="","",IF(C43&lt;0,"capteur en defaut",IF(D43=1,"arrosage en cours","au repos")))</f>
        <v/>
      </c>
    </row>
    <row r="44" customFormat="false" ht="15" hidden="false" customHeight="false" outlineLevel="0" collapsed="false">
      <c r="E44" s="7" t="str">
        <f aca="false">IF(A44="","",A44/3600)</f>
        <v/>
      </c>
      <c r="F44" s="5" t="str">
        <f aca="false">IF(A44="","",IF(C44&lt;0,"capteur en defaut",IF(D44=1,"arrosage en cours","au repos")))</f>
        <v/>
      </c>
    </row>
    <row r="45" customFormat="false" ht="15" hidden="false" customHeight="false" outlineLevel="0" collapsed="false">
      <c r="E45" s="7" t="str">
        <f aca="false">IF(A45="","",A45/3600)</f>
        <v/>
      </c>
      <c r="F45" s="5" t="str">
        <f aca="false">IF(A45="","",IF(C45&lt;0,"capteur en defaut",IF(D45=1,"arrosage en cours","au repos")))</f>
        <v/>
      </c>
    </row>
    <row r="46" customFormat="false" ht="15" hidden="false" customHeight="false" outlineLevel="0" collapsed="false">
      <c r="E46" s="7" t="str">
        <f aca="false">IF(A46="","",A46/3600)</f>
        <v/>
      </c>
      <c r="F46" s="5" t="str">
        <f aca="false">IF(A46="","",IF(C46&lt;0,"capteur en defaut",IF(D46=1,"arrosage en cours","au repos")))</f>
        <v/>
      </c>
    </row>
    <row r="47" customFormat="false" ht="15" hidden="false" customHeight="false" outlineLevel="0" collapsed="false">
      <c r="E47" s="7" t="str">
        <f aca="false">IF(A47="","",A47/3600)</f>
        <v/>
      </c>
      <c r="F47" s="5" t="str">
        <f aca="false">IF(A47="","",IF(C47&lt;0,"capteur en defaut",IF(D47=1,"arrosage en cours","au repos")))</f>
        <v/>
      </c>
    </row>
    <row r="48" customFormat="false" ht="15" hidden="false" customHeight="false" outlineLevel="0" collapsed="false">
      <c r="E48" s="7" t="str">
        <f aca="false">IF(A48="","",A48/3600)</f>
        <v/>
      </c>
      <c r="F48" s="5" t="str">
        <f aca="false">IF(A48="","",IF(C48&lt;0,"capteur en defaut",IF(D48=1,"arrosage en cours","au repos")))</f>
        <v/>
      </c>
    </row>
    <row r="49" customFormat="false" ht="15" hidden="false" customHeight="false" outlineLevel="0" collapsed="false">
      <c r="E49" s="7" t="str">
        <f aca="false">IF(A49="","",A49/3600)</f>
        <v/>
      </c>
      <c r="F49" s="5" t="str">
        <f aca="false">IF(A49="","",IF(C49&lt;0,"capteur en defaut",IF(D49=1,"arrosage en cours","au repos")))</f>
        <v/>
      </c>
    </row>
    <row r="50" customFormat="false" ht="15" hidden="false" customHeight="false" outlineLevel="0" collapsed="false">
      <c r="E50" s="7" t="str">
        <f aca="false">IF(A50="","",A50/3600)</f>
        <v/>
      </c>
      <c r="F50" s="5" t="str">
        <f aca="false">IF(A50="","",IF(C50&lt;0,"capteur en defaut",IF(D50=1,"arrosage en cours","au repos")))</f>
        <v/>
      </c>
    </row>
    <row r="51" customFormat="false" ht="15" hidden="false" customHeight="false" outlineLevel="0" collapsed="false">
      <c r="E51" s="7" t="str">
        <f aca="false">IF(A51="","",A51/3600)</f>
        <v/>
      </c>
      <c r="F51" s="5" t="str">
        <f aca="false">IF(A51="","",IF(C51&lt;0,"capteur en defaut",IF(D51=1,"arrosage en cours","au repos")))</f>
        <v/>
      </c>
    </row>
    <row r="52" customFormat="false" ht="15" hidden="false" customHeight="false" outlineLevel="0" collapsed="false">
      <c r="E52" s="7" t="str">
        <f aca="false">IF(A52="","",A52/3600)</f>
        <v/>
      </c>
      <c r="F52" s="5" t="str">
        <f aca="false">IF(A52="","",IF(C52&lt;0,"capteur en defaut",IF(D52=1,"arrosage en cours","au repos")))</f>
        <v/>
      </c>
    </row>
    <row r="53" customFormat="false" ht="15" hidden="false" customHeight="false" outlineLevel="0" collapsed="false">
      <c r="E53" s="7" t="str">
        <f aca="false">IF(A53="","",A53/3600)</f>
        <v/>
      </c>
      <c r="F53" s="5" t="str">
        <f aca="false">IF(A53="","",IF(C53&lt;0,"capteur en defaut",IF(D53=1,"arrosage en cours","au repos")))</f>
        <v/>
      </c>
    </row>
    <row r="54" customFormat="false" ht="15" hidden="false" customHeight="false" outlineLevel="0" collapsed="false">
      <c r="E54" s="7" t="str">
        <f aca="false">IF(A54="","",A54/3600)</f>
        <v/>
      </c>
      <c r="F54" s="5" t="str">
        <f aca="false">IF(A54="","",IF(C54&lt;0,"capteur en defaut",IF(D54=1,"arrosage en cours","au repos")))</f>
        <v/>
      </c>
    </row>
    <row r="55" customFormat="false" ht="15" hidden="false" customHeight="false" outlineLevel="0" collapsed="false">
      <c r="E55" s="7" t="str">
        <f aca="false">IF(A55="","",A55/3600)</f>
        <v/>
      </c>
      <c r="F55" s="5" t="str">
        <f aca="false">IF(A55="","",IF(C55&lt;0,"capteur en defaut",IF(D55=1,"arrosage en cours","au repos")))</f>
        <v/>
      </c>
    </row>
    <row r="56" customFormat="false" ht="15" hidden="false" customHeight="false" outlineLevel="0" collapsed="false">
      <c r="E56" s="7" t="str">
        <f aca="false">IF(A56="","",A56/3600)</f>
        <v/>
      </c>
      <c r="F56" s="5" t="str">
        <f aca="false">IF(A56="","",IF(C56&lt;0,"capteur en defaut",IF(D56=1,"arrosage en cours","au repos")))</f>
        <v/>
      </c>
    </row>
    <row r="57" customFormat="false" ht="15" hidden="false" customHeight="false" outlineLevel="0" collapsed="false">
      <c r="E57" s="7" t="str">
        <f aca="false">IF(A57="","",A57/3600)</f>
        <v/>
      </c>
      <c r="F57" s="5" t="str">
        <f aca="false">IF(A57="","",IF(C57&lt;0,"capteur en defaut",IF(D57=1,"arrosage en cours","au repos")))</f>
        <v/>
      </c>
    </row>
    <row r="58" customFormat="false" ht="15" hidden="false" customHeight="false" outlineLevel="0" collapsed="false">
      <c r="E58" s="7" t="str">
        <f aca="false">IF(A58="","",A58/3600)</f>
        <v/>
      </c>
      <c r="F58" s="5" t="str">
        <f aca="false">IF(A58="","",IF(C58&lt;0,"capteur en defaut",IF(D58=1,"arrosage en cours","au repos")))</f>
        <v/>
      </c>
    </row>
    <row r="59" customFormat="false" ht="15" hidden="false" customHeight="false" outlineLevel="0" collapsed="false">
      <c r="E59" s="7" t="str">
        <f aca="false">IF(A59="","",A59/3600)</f>
        <v/>
      </c>
      <c r="F59" s="5" t="str">
        <f aca="false">IF(A59="","",IF(C59&lt;0,"capteur en defaut",IF(D59=1,"arrosage en cours","au repos")))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134</v>
      </c>
    </row>
    <row r="3" customFormat="false" ht="15" hidden="false" customHeight="false" outlineLevel="0" collapsed="false">
      <c r="A3" s="4" t="s">
        <v>74</v>
      </c>
      <c r="B3" s="4" t="s">
        <v>27</v>
      </c>
      <c r="C3" s="4" t="s">
        <v>28</v>
      </c>
      <c r="D3" s="4" t="s">
        <v>135</v>
      </c>
    </row>
    <row r="4" customFormat="false" ht="15" hidden="false" customHeight="false" outlineLevel="0" collapsed="false">
      <c r="A4" s="5" t="s">
        <v>136</v>
      </c>
      <c r="B4" s="13" t="n">
        <v>3</v>
      </c>
      <c r="C4" s="5" t="s">
        <v>137</v>
      </c>
      <c r="D4" s="5" t="s">
        <v>138</v>
      </c>
    </row>
    <row r="5" customFormat="false" ht="15" hidden="false" customHeight="false" outlineLevel="0" collapsed="false">
      <c r="A5" s="5" t="s">
        <v>139</v>
      </c>
      <c r="B5" s="13" t="n">
        <v>0.015</v>
      </c>
      <c r="C5" s="5" t="s">
        <v>140</v>
      </c>
      <c r="D5" s="5" t="s">
        <v>141</v>
      </c>
    </row>
    <row r="6" customFormat="false" ht="15" hidden="false" customHeight="false" outlineLevel="0" collapsed="false">
      <c r="A6" s="5" t="s">
        <v>142</v>
      </c>
      <c r="B6" s="13" t="n">
        <v>6</v>
      </c>
      <c r="C6" s="5" t="s">
        <v>137</v>
      </c>
      <c r="D6" s="5" t="s">
        <v>143</v>
      </c>
    </row>
    <row r="7" customFormat="false" ht="15" hidden="false" customHeight="false" outlineLevel="0" collapsed="false">
      <c r="A7" s="5" t="s">
        <v>144</v>
      </c>
      <c r="B7" s="13" t="n">
        <v>0.485</v>
      </c>
      <c r="C7" s="5" t="s">
        <v>140</v>
      </c>
      <c r="D7" s="5" t="s">
        <v>145</v>
      </c>
    </row>
    <row r="8" customFormat="false" ht="15" hidden="false" customHeight="false" outlineLevel="0" collapsed="false">
      <c r="A8" s="5" t="s">
        <v>146</v>
      </c>
      <c r="B8" s="13" t="n">
        <v>4</v>
      </c>
      <c r="C8" s="5"/>
      <c r="D8" s="5" t="s">
        <v>147</v>
      </c>
    </row>
    <row r="9" customFormat="false" ht="15" hidden="false" customHeight="false" outlineLevel="0" collapsed="false">
      <c r="A9" s="5" t="s">
        <v>148</v>
      </c>
      <c r="B9" s="13" t="n">
        <v>90</v>
      </c>
      <c r="C9" s="5" t="s">
        <v>149</v>
      </c>
      <c r="D9" s="5" t="s">
        <v>147</v>
      </c>
    </row>
    <row r="10" customFormat="false" ht="15" hidden="false" customHeight="false" outlineLevel="0" collapsed="false">
      <c r="A10" s="5" t="s">
        <v>150</v>
      </c>
      <c r="B10" s="13" t="n">
        <v>2</v>
      </c>
      <c r="C10" s="5" t="s">
        <v>151</v>
      </c>
      <c r="D10" s="5" t="s">
        <v>143</v>
      </c>
    </row>
    <row r="11" customFormat="false" ht="15" hidden="false" customHeight="false" outlineLevel="0" collapsed="false">
      <c r="A11" s="5" t="s">
        <v>152</v>
      </c>
      <c r="B11" s="13" t="n">
        <v>5</v>
      </c>
      <c r="C11" s="5" t="s">
        <v>153</v>
      </c>
      <c r="D11" s="5" t="s">
        <v>154</v>
      </c>
    </row>
    <row r="12" customFormat="false" ht="15" hidden="false" customHeight="false" outlineLevel="0" collapsed="false">
      <c r="A12" s="5" t="s">
        <v>155</v>
      </c>
      <c r="B12" s="13" t="n">
        <v>0.7</v>
      </c>
      <c r="C12" s="5"/>
      <c r="D12" s="5" t="s">
        <v>156</v>
      </c>
    </row>
    <row r="13" customFormat="false" ht="15" hidden="false" customHeight="false" outlineLevel="0" collapsed="false">
      <c r="A13" s="5" t="s">
        <v>157</v>
      </c>
      <c r="B13" s="13" t="n">
        <v>2600</v>
      </c>
      <c r="C13" s="5" t="s">
        <v>158</v>
      </c>
      <c r="D13" s="5" t="s">
        <v>143</v>
      </c>
    </row>
    <row r="14" customFormat="false" ht="15" hidden="false" customHeight="false" outlineLevel="0" collapsed="false">
      <c r="A14" s="5" t="s">
        <v>159</v>
      </c>
      <c r="B14" s="13" t="n">
        <v>3.7</v>
      </c>
      <c r="C14" s="5" t="s">
        <v>137</v>
      </c>
      <c r="D14" s="5" t="s">
        <v>143</v>
      </c>
    </row>
    <row r="15" customFormat="false" ht="15" hidden="false" customHeight="false" outlineLevel="0" collapsed="false">
      <c r="A15" s="5" t="s">
        <v>160</v>
      </c>
      <c r="B15" s="13" t="n">
        <v>7</v>
      </c>
      <c r="C15" s="5" t="s">
        <v>44</v>
      </c>
      <c r="D15" s="5" t="s">
        <v>161</v>
      </c>
    </row>
    <row r="16" customFormat="false" ht="15" hidden="false" customHeight="false" outlineLevel="0" collapsed="false">
      <c r="A16" s="2"/>
      <c r="C16" s="2"/>
      <c r="D16" s="2"/>
    </row>
    <row r="17" customFormat="false" ht="15" hidden="false" customHeight="false" outlineLevel="0" collapsed="false">
      <c r="A17" s="5" t="s">
        <v>162</v>
      </c>
      <c r="B17" s="14" t="n">
        <f aca="false">B4*B5</f>
        <v>0.045</v>
      </c>
      <c r="C17" s="5" t="s">
        <v>151</v>
      </c>
      <c r="D17" s="5" t="s">
        <v>163</v>
      </c>
    </row>
    <row r="18" customFormat="false" ht="15" hidden="false" customHeight="false" outlineLevel="0" collapsed="false">
      <c r="A18" s="5" t="s">
        <v>164</v>
      </c>
      <c r="B18" s="14" t="n">
        <f aca="false">B17+B6*B7</f>
        <v>2.955</v>
      </c>
      <c r="C18" s="5" t="s">
        <v>151</v>
      </c>
      <c r="D18" s="5" t="s">
        <v>165</v>
      </c>
    </row>
    <row r="19" customFormat="false" ht="15" hidden="false" customHeight="false" outlineLevel="0" collapsed="false">
      <c r="A19" s="5" t="s">
        <v>166</v>
      </c>
      <c r="B19" s="14" t="n">
        <f aca="false">B8*B9/3600</f>
        <v>0.1</v>
      </c>
      <c r="C19" s="5" t="s">
        <v>167</v>
      </c>
      <c r="D19" s="5" t="s">
        <v>168</v>
      </c>
    </row>
    <row r="20" customFormat="false" ht="15" hidden="false" customHeight="false" outlineLevel="0" collapsed="false">
      <c r="A20" s="5" t="s">
        <v>169</v>
      </c>
      <c r="B20" s="14" t="n">
        <f aca="false">B17*(24-B19)</f>
        <v>1.0755</v>
      </c>
      <c r="C20" s="5" t="s">
        <v>170</v>
      </c>
      <c r="D20" s="5" t="s">
        <v>171</v>
      </c>
    </row>
    <row r="21" customFormat="false" ht="15" hidden="false" customHeight="false" outlineLevel="0" collapsed="false">
      <c r="A21" s="5" t="s">
        <v>172</v>
      </c>
      <c r="B21" s="14" t="n">
        <f aca="false">B18*B19</f>
        <v>0.2955</v>
      </c>
      <c r="C21" s="5" t="s">
        <v>170</v>
      </c>
      <c r="D21" s="5" t="s">
        <v>171</v>
      </c>
    </row>
    <row r="22" customFormat="false" ht="15" hidden="false" customHeight="false" outlineLevel="0" collapsed="false">
      <c r="A22" s="5" t="s">
        <v>173</v>
      </c>
      <c r="B22" s="14" t="n">
        <f aca="false">B20+B21</f>
        <v>1.371</v>
      </c>
      <c r="C22" s="5" t="s">
        <v>170</v>
      </c>
      <c r="D22" s="5" t="s">
        <v>174</v>
      </c>
    </row>
    <row r="23" customFormat="false" ht="15" hidden="false" customHeight="false" outlineLevel="0" collapsed="false">
      <c r="A23" s="5" t="s">
        <v>175</v>
      </c>
      <c r="B23" s="9" t="n">
        <f aca="false">B20/B22</f>
        <v>0.784463894967177</v>
      </c>
      <c r="C23" s="5"/>
      <c r="D23" s="5" t="s">
        <v>176</v>
      </c>
    </row>
    <row r="24" customFormat="false" ht="15" hidden="false" customHeight="false" outlineLevel="0" collapsed="false">
      <c r="A24" s="2"/>
      <c r="C24" s="2"/>
      <c r="D24" s="2"/>
    </row>
    <row r="25" customFormat="false" ht="15" hidden="false" customHeight="false" outlineLevel="0" collapsed="false">
      <c r="A25" s="5" t="s">
        <v>177</v>
      </c>
      <c r="B25" s="14" t="n">
        <f aca="false">B10*B11</f>
        <v>10</v>
      </c>
      <c r="C25" s="5" t="s">
        <v>170</v>
      </c>
      <c r="D25" s="5" t="s">
        <v>178</v>
      </c>
    </row>
    <row r="26" customFormat="false" ht="15" hidden="false" customHeight="false" outlineLevel="0" collapsed="false">
      <c r="A26" s="5" t="s">
        <v>179</v>
      </c>
      <c r="B26" s="14" t="n">
        <f aca="false">B25*B12</f>
        <v>7</v>
      </c>
      <c r="C26" s="5" t="s">
        <v>170</v>
      </c>
      <c r="D26" s="5" t="s">
        <v>180</v>
      </c>
    </row>
    <row r="27" customFormat="false" ht="15" hidden="false" customHeight="false" outlineLevel="0" collapsed="false">
      <c r="A27" s="5" t="s">
        <v>181</v>
      </c>
      <c r="B27" s="14" t="n">
        <f aca="false">B26/B22</f>
        <v>5.10576221735959</v>
      </c>
      <c r="C27" s="5"/>
      <c r="D27" s="5" t="s">
        <v>182</v>
      </c>
    </row>
    <row r="28" customFormat="false" ht="15" hidden="false" customHeight="false" outlineLevel="0" collapsed="false">
      <c r="A28" s="5" t="s">
        <v>183</v>
      </c>
      <c r="B28" s="14" t="n">
        <f aca="false">B13/1000*B14</f>
        <v>9.62</v>
      </c>
      <c r="C28" s="5" t="s">
        <v>170</v>
      </c>
      <c r="D28" s="5" t="s">
        <v>184</v>
      </c>
    </row>
    <row r="29" customFormat="false" ht="15" hidden="false" customHeight="false" outlineLevel="0" collapsed="false">
      <c r="A29" s="5" t="s">
        <v>185</v>
      </c>
      <c r="B29" s="14" t="n">
        <f aca="false">B28/B22</f>
        <v>7.01677607585704</v>
      </c>
      <c r="C29" s="5" t="s">
        <v>44</v>
      </c>
      <c r="D29" s="5" t="s">
        <v>186</v>
      </c>
    </row>
    <row r="30" customFormat="false" ht="15" hidden="false" customHeight="false" outlineLevel="0" collapsed="false">
      <c r="A30" s="10" t="s">
        <v>187</v>
      </c>
      <c r="B30" s="10" t="str">
        <f aca="false">IF(B29&gt;=B15,"RESPECTEE","NON RESPECTEE")</f>
        <v>RESPECTEE</v>
      </c>
      <c r="C30" s="5"/>
      <c r="D30" s="5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4" t="s">
        <v>190</v>
      </c>
      <c r="B4" s="4" t="s">
        <v>191</v>
      </c>
      <c r="C4" s="4" t="s">
        <v>192</v>
      </c>
      <c r="D4" s="4" t="s">
        <v>193</v>
      </c>
      <c r="E4" s="4" t="s">
        <v>194</v>
      </c>
    </row>
    <row r="5" customFormat="false" ht="15" hidden="false" customHeight="false" outlineLevel="0" collapsed="false">
      <c r="A5" s="5" t="s">
        <v>195</v>
      </c>
      <c r="B5" s="5" t="s">
        <v>196</v>
      </c>
      <c r="C5" s="6" t="n">
        <v>12</v>
      </c>
      <c r="D5" s="15" t="n">
        <v>80</v>
      </c>
      <c r="E5" s="8" t="n">
        <f aca="false">C5*D5</f>
        <v>960</v>
      </c>
    </row>
    <row r="6" customFormat="false" ht="15" hidden="false" customHeight="false" outlineLevel="0" collapsed="false">
      <c r="A6" s="5" t="s">
        <v>195</v>
      </c>
      <c r="B6" s="5" t="s">
        <v>197</v>
      </c>
      <c r="C6" s="6" t="n">
        <v>2</v>
      </c>
      <c r="D6" s="15" t="n">
        <v>180</v>
      </c>
      <c r="E6" s="8" t="n">
        <f aca="false">C6*D6</f>
        <v>360</v>
      </c>
    </row>
    <row r="7" customFormat="false" ht="15" hidden="false" customHeight="false" outlineLevel="0" collapsed="false">
      <c r="A7" s="5" t="s">
        <v>195</v>
      </c>
      <c r="B7" s="5" t="s">
        <v>198</v>
      </c>
      <c r="C7" s="6" t="n">
        <v>32</v>
      </c>
      <c r="D7" s="15" t="n">
        <v>12</v>
      </c>
      <c r="E7" s="8" t="n">
        <f aca="false">C7*D7</f>
        <v>384</v>
      </c>
    </row>
    <row r="8" customFormat="false" ht="15" hidden="false" customHeight="false" outlineLevel="0" collapsed="false">
      <c r="A8" s="5" t="s">
        <v>195</v>
      </c>
      <c r="B8" s="5" t="s">
        <v>199</v>
      </c>
      <c r="C8" s="6" t="n">
        <v>1</v>
      </c>
      <c r="D8" s="15" t="n">
        <v>450</v>
      </c>
      <c r="E8" s="8" t="n">
        <f aca="false">C8*D8</f>
        <v>450</v>
      </c>
    </row>
    <row r="9" customFormat="false" ht="15" hidden="false" customHeight="false" outlineLevel="0" collapsed="false">
      <c r="A9" s="5" t="s">
        <v>195</v>
      </c>
      <c r="B9" s="5" t="s">
        <v>200</v>
      </c>
      <c r="C9" s="6" t="n">
        <v>20</v>
      </c>
      <c r="D9" s="15" t="n">
        <v>65</v>
      </c>
      <c r="E9" s="8" t="n">
        <f aca="false">C9*D9</f>
        <v>1300</v>
      </c>
    </row>
    <row r="10" customFormat="false" ht="15" hidden="false" customHeight="false" outlineLevel="0" collapsed="false">
      <c r="A10" s="5" t="s">
        <v>195</v>
      </c>
      <c r="B10" s="5" t="s">
        <v>201</v>
      </c>
      <c r="C10" s="6" t="n">
        <v>8</v>
      </c>
      <c r="D10" s="15" t="n">
        <v>90</v>
      </c>
      <c r="E10" s="8" t="n">
        <f aca="false">C10*D10</f>
        <v>720</v>
      </c>
    </row>
    <row r="11" customFormat="false" ht="15" hidden="false" customHeight="false" outlineLevel="0" collapsed="false">
      <c r="A11" s="5" t="s">
        <v>195</v>
      </c>
      <c r="B11" s="5" t="s">
        <v>202</v>
      </c>
      <c r="C11" s="6" t="n">
        <v>10</v>
      </c>
      <c r="D11" s="15" t="n">
        <v>55</v>
      </c>
      <c r="E11" s="8" t="n">
        <f aca="false">C11*D11</f>
        <v>550</v>
      </c>
    </row>
    <row r="12" customFormat="false" ht="15" hidden="false" customHeight="false" outlineLevel="0" collapsed="false">
      <c r="A12" s="5" t="s">
        <v>195</v>
      </c>
      <c r="B12" s="5" t="s">
        <v>203</v>
      </c>
      <c r="C12" s="6" t="n">
        <v>4</v>
      </c>
      <c r="D12" s="15" t="n">
        <v>320</v>
      </c>
      <c r="E12" s="8" t="n">
        <f aca="false">C12*D12</f>
        <v>1280</v>
      </c>
    </row>
    <row r="13" customFormat="false" ht="15" hidden="false" customHeight="false" outlineLevel="0" collapsed="false">
      <c r="A13" s="5" t="s">
        <v>204</v>
      </c>
      <c r="B13" s="5" t="s">
        <v>205</v>
      </c>
      <c r="C13" s="6" t="n">
        <v>1</v>
      </c>
      <c r="D13" s="15" t="n">
        <v>1500</v>
      </c>
      <c r="E13" s="8" t="n">
        <f aca="false">C13*D13</f>
        <v>1500</v>
      </c>
    </row>
    <row r="14" customFormat="false" ht="15" hidden="false" customHeight="false" outlineLevel="0" collapsed="false">
      <c r="A14" s="5" t="s">
        <v>206</v>
      </c>
      <c r="B14" s="5" t="s">
        <v>207</v>
      </c>
      <c r="C14" s="6" t="n">
        <v>1</v>
      </c>
      <c r="D14" s="15" t="n">
        <v>950</v>
      </c>
      <c r="E14" s="8" t="n">
        <f aca="false">C14*D14</f>
        <v>950</v>
      </c>
    </row>
    <row r="15" customFormat="false" ht="15" hidden="false" customHeight="false" outlineLevel="0" collapsed="false">
      <c r="A15" s="5" t="s">
        <v>206</v>
      </c>
      <c r="B15" s="5" t="s">
        <v>208</v>
      </c>
      <c r="C15" s="6" t="n">
        <v>4</v>
      </c>
      <c r="D15" s="15" t="n">
        <v>210</v>
      </c>
      <c r="E15" s="8" t="n">
        <f aca="false">C15*D15</f>
        <v>840</v>
      </c>
    </row>
    <row r="16" customFormat="false" ht="15" hidden="false" customHeight="false" outlineLevel="0" collapsed="false">
      <c r="A16" s="5" t="s">
        <v>206</v>
      </c>
      <c r="B16" s="5" t="s">
        <v>209</v>
      </c>
      <c r="C16" s="6" t="n">
        <v>1</v>
      </c>
      <c r="D16" s="15" t="n">
        <v>180</v>
      </c>
      <c r="E16" s="8" t="n">
        <f aca="false">C16*D16</f>
        <v>180</v>
      </c>
    </row>
    <row r="17" customFormat="false" ht="15" hidden="false" customHeight="false" outlineLevel="0" collapsed="false">
      <c r="A17" s="5" t="s">
        <v>206</v>
      </c>
      <c r="B17" s="5" t="s">
        <v>210</v>
      </c>
      <c r="C17" s="6" t="n">
        <v>1</v>
      </c>
      <c r="D17" s="15" t="n">
        <v>120</v>
      </c>
      <c r="E17" s="8" t="n">
        <f aca="false">C17*D17</f>
        <v>120</v>
      </c>
    </row>
    <row r="18" customFormat="false" ht="15" hidden="false" customHeight="false" outlineLevel="0" collapsed="false">
      <c r="A18" s="5" t="s">
        <v>206</v>
      </c>
      <c r="B18" s="5" t="s">
        <v>211</v>
      </c>
      <c r="C18" s="6" t="n">
        <v>1</v>
      </c>
      <c r="D18" s="15" t="n">
        <v>690</v>
      </c>
      <c r="E18" s="8" t="n">
        <f aca="false">C18*D18</f>
        <v>690</v>
      </c>
    </row>
    <row r="19" customFormat="false" ht="15" hidden="false" customHeight="false" outlineLevel="0" collapsed="false">
      <c r="A19" s="5" t="s">
        <v>206</v>
      </c>
      <c r="B19" s="5" t="s">
        <v>212</v>
      </c>
      <c r="C19" s="6" t="n">
        <v>40</v>
      </c>
      <c r="D19" s="15" t="n">
        <v>8</v>
      </c>
      <c r="E19" s="8" t="n">
        <f aca="false">C19*D19</f>
        <v>320</v>
      </c>
    </row>
    <row r="20" customFormat="false" ht="15" hidden="false" customHeight="false" outlineLevel="0" collapsed="false">
      <c r="A20" s="5" t="s">
        <v>206</v>
      </c>
      <c r="B20" s="5" t="s">
        <v>213</v>
      </c>
      <c r="C20" s="6" t="n">
        <v>1</v>
      </c>
      <c r="D20" s="15" t="n">
        <v>350</v>
      </c>
      <c r="E20" s="8" t="n">
        <f aca="false">C20*D20</f>
        <v>350</v>
      </c>
    </row>
    <row r="21" customFormat="false" ht="15" hidden="false" customHeight="false" outlineLevel="0" collapsed="false">
      <c r="A21" s="5" t="s">
        <v>214</v>
      </c>
      <c r="B21" s="5" t="s">
        <v>215</v>
      </c>
      <c r="C21" s="6" t="n">
        <v>6</v>
      </c>
      <c r="D21" s="15" t="n">
        <v>720</v>
      </c>
      <c r="E21" s="8" t="n">
        <f aca="false">C21*D21</f>
        <v>4320</v>
      </c>
    </row>
    <row r="22" customFormat="false" ht="15" hidden="false" customHeight="false" outlineLevel="0" collapsed="false">
      <c r="A22" s="5" t="s">
        <v>214</v>
      </c>
      <c r="B22" s="5" t="s">
        <v>216</v>
      </c>
      <c r="C22" s="6" t="n">
        <v>6</v>
      </c>
      <c r="D22" s="15" t="n">
        <v>90</v>
      </c>
      <c r="E22" s="8" t="n">
        <f aca="false">C22*D22</f>
        <v>540</v>
      </c>
    </row>
    <row r="23" customFormat="false" ht="15" hidden="false" customHeight="false" outlineLevel="0" collapsed="false">
      <c r="A23" s="5" t="s">
        <v>214</v>
      </c>
      <c r="B23" s="5" t="s">
        <v>217</v>
      </c>
      <c r="C23" s="6" t="n">
        <v>8</v>
      </c>
      <c r="D23" s="15" t="n">
        <v>145</v>
      </c>
      <c r="E23" s="8" t="n">
        <f aca="false">C23*D23</f>
        <v>1160</v>
      </c>
    </row>
    <row r="24" customFormat="false" ht="15" hidden="false" customHeight="false" outlineLevel="0" collapsed="false">
      <c r="A24" s="5" t="s">
        <v>214</v>
      </c>
      <c r="B24" s="5" t="s">
        <v>218</v>
      </c>
      <c r="C24" s="6" t="n">
        <v>4</v>
      </c>
      <c r="D24" s="15" t="n">
        <v>110</v>
      </c>
      <c r="E24" s="8" t="n">
        <f aca="false">C24*D24</f>
        <v>440</v>
      </c>
    </row>
    <row r="25" customFormat="false" ht="15" hidden="false" customHeight="false" outlineLevel="0" collapsed="false">
      <c r="A25" s="5" t="s">
        <v>214</v>
      </c>
      <c r="B25" s="5" t="s">
        <v>219</v>
      </c>
      <c r="C25" s="6" t="n">
        <v>2</v>
      </c>
      <c r="D25" s="15" t="n">
        <v>260</v>
      </c>
      <c r="E25" s="8" t="n">
        <f aca="false">C25*D25</f>
        <v>520</v>
      </c>
    </row>
    <row r="26" customFormat="false" ht="15" hidden="false" customHeight="false" outlineLevel="0" collapsed="false">
      <c r="A26" s="5" t="s">
        <v>214</v>
      </c>
      <c r="B26" s="5" t="s">
        <v>220</v>
      </c>
      <c r="C26" s="6" t="n">
        <v>2</v>
      </c>
      <c r="D26" s="15" t="n">
        <v>380</v>
      </c>
      <c r="E26" s="8" t="n">
        <f aca="false">C26*D26</f>
        <v>760</v>
      </c>
    </row>
    <row r="27" customFormat="false" ht="15" hidden="false" customHeight="false" outlineLevel="0" collapsed="false">
      <c r="A27" s="5" t="s">
        <v>214</v>
      </c>
      <c r="B27" s="5" t="s">
        <v>221</v>
      </c>
      <c r="C27" s="6" t="n">
        <v>2</v>
      </c>
      <c r="D27" s="15" t="n">
        <v>340</v>
      </c>
      <c r="E27" s="8" t="n">
        <f aca="false">C27*D27</f>
        <v>680</v>
      </c>
    </row>
    <row r="28" customFormat="false" ht="15" hidden="false" customHeight="false" outlineLevel="0" collapsed="false">
      <c r="A28" s="5" t="s">
        <v>214</v>
      </c>
      <c r="B28" s="5" t="s">
        <v>222</v>
      </c>
      <c r="C28" s="6" t="n">
        <v>2</v>
      </c>
      <c r="D28" s="15" t="n">
        <v>290</v>
      </c>
      <c r="E28" s="8" t="n">
        <f aca="false">C28*D28</f>
        <v>580</v>
      </c>
    </row>
    <row r="29" customFormat="false" ht="15" hidden="false" customHeight="false" outlineLevel="0" collapsed="false">
      <c r="A29" s="5" t="s">
        <v>214</v>
      </c>
      <c r="B29" s="5" t="s">
        <v>223</v>
      </c>
      <c r="C29" s="6" t="n">
        <v>1</v>
      </c>
      <c r="D29" s="15" t="n">
        <v>400</v>
      </c>
      <c r="E29" s="8" t="n">
        <f aca="false">C29*D29</f>
        <v>400</v>
      </c>
    </row>
    <row r="30" customFormat="false" ht="15" hidden="false" customHeight="false" outlineLevel="0" collapsed="false">
      <c r="A30" s="5" t="s">
        <v>214</v>
      </c>
      <c r="B30" s="5" t="s">
        <v>224</v>
      </c>
      <c r="C30" s="6" t="n">
        <v>2</v>
      </c>
      <c r="D30" s="15" t="n">
        <v>450</v>
      </c>
      <c r="E30" s="8" t="n">
        <f aca="false">C30*D30</f>
        <v>900</v>
      </c>
    </row>
    <row r="32" customFormat="false" ht="15" hidden="false" customHeight="false" outlineLevel="0" collapsed="false">
      <c r="D32" s="16" t="s">
        <v>225</v>
      </c>
      <c r="E32" s="17" t="n">
        <f aca="false">SUM(E5:E30)</f>
        <v>21254</v>
      </c>
    </row>
    <row r="33" customFormat="false" ht="15" hidden="false" customHeight="false" outlineLevel="0" collapsed="false">
      <c r="D33" s="2" t="s">
        <v>226</v>
      </c>
      <c r="E33" s="18" t="n">
        <v>28.5</v>
      </c>
    </row>
    <row r="34" customFormat="false" ht="15" hidden="false" customHeight="false" outlineLevel="0" collapsed="false">
      <c r="D34" s="16" t="s">
        <v>227</v>
      </c>
      <c r="E34" s="17" t="n">
        <f aca="false">E32/E33</f>
        <v>745.754385964912</v>
      </c>
    </row>
    <row r="36" customFormat="false" ht="15" hidden="false" customHeight="false" outlineLevel="0" collapsed="false">
      <c r="D36" s="2" t="s">
        <v>228</v>
      </c>
      <c r="E36" s="8" t="n">
        <f aca="false">SUMIF($A$5:$A$30,"Structure",$E$5:$E$30)</f>
        <v>6004</v>
      </c>
    </row>
    <row r="37" customFormat="false" ht="15" hidden="false" customHeight="false" outlineLevel="0" collapsed="false">
      <c r="D37" s="2" t="s">
        <v>229</v>
      </c>
      <c r="E37" s="8" t="n">
        <f aca="false">SUMIF($A$5:$A$30,"Plantes",$E$5:$E$30)</f>
        <v>1500</v>
      </c>
    </row>
    <row r="38" customFormat="false" ht="15" hidden="false" customHeight="false" outlineLevel="0" collapsed="false">
      <c r="D38" s="2" t="s">
        <v>230</v>
      </c>
      <c r="E38" s="8" t="n">
        <f aca="false">SUMIF($A$5:$A$30,"Eau",$E$5:$E$30)</f>
        <v>3450</v>
      </c>
    </row>
    <row r="39" customFormat="false" ht="15" hidden="false" customHeight="false" outlineLevel="0" collapsed="false">
      <c r="D39" s="2" t="s">
        <v>231</v>
      </c>
      <c r="E39" s="8" t="n">
        <f aca="false">SUMIF($A$5:$A$30,"Commande",$E$5:$E$30)</f>
        <v>10300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2026-09-05T18:42:14Z</dcterms:created>
  <dc:creator>openpyxl</dc:creator>
  <dc:description/>
  <dc:language>en-US</dc:language>
  <cp:lastModifiedBy/>
  <dcterms:modified xsi:type="dcterms:W3CDTF">2026-09-05T18:42:14Z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